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sil_z3d\Desktop\invorg\python_learn_1 month\"/>
    </mc:Choice>
  </mc:AlternateContent>
  <xr:revisionPtr revIDLastSave="0" documentId="13_ncr:1_{B6002C9C-DE79-4DDE-8E18-56243E9EECF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earning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1" l="1"/>
  <c r="E52" i="1"/>
  <c r="D52" i="1"/>
  <c r="C52" i="1"/>
  <c r="B52" i="1"/>
  <c r="A52" i="1"/>
  <c r="F52" i="1" l="1"/>
</calcChain>
</file>

<file path=xl/sharedStrings.xml><?xml version="1.0" encoding="utf-8"?>
<sst xmlns="http://schemas.openxmlformats.org/spreadsheetml/2006/main" count="189" uniqueCount="156">
  <si>
    <t>Python + FastAPI + AI/ML</t>
  </si>
  <si>
    <t>30-Day Personal Learning Plan</t>
  </si>
  <si>
    <t>Owner</t>
  </si>
  <si>
    <t>Duration</t>
  </si>
  <si>
    <t>Daily commitment</t>
  </si>
  <si>
    <t>1–2 hrs / weekday</t>
  </si>
  <si>
    <t>Goal</t>
  </si>
  <si>
    <t>Job-ready Python + FastAPI + AI/ML</t>
  </si>
  <si>
    <t>Status</t>
  </si>
  <si>
    <t>In progress — day 1 of 30 starts after Strings</t>
  </si>
  <si>
    <t>Final deliverable</t>
  </si>
  <si>
    <t>FastAPI app serving ML model, in Docker</t>
  </si>
  <si>
    <t xml:space="preserve">  ALREADY COMPLETED — verifiable on GitHub</t>
  </si>
  <si>
    <t>Topic</t>
  </si>
  <si>
    <t>What was covered</t>
  </si>
  <si>
    <t>Python setup + VS Code</t>
  </si>
  <si>
    <t>Python install, VS Code, project folders, print(), input()</t>
  </si>
  <si>
    <t>Variables &amp; data types</t>
  </si>
  <si>
    <t>Variables, naming rules, int / float / str / bool, type conversion</t>
  </si>
  <si>
    <t>Strings (deep dive)</t>
  </si>
  <si>
    <t>Indexing, slicing, methods (upper/lower/replace), f-strings, decimal formatting (:.2f), alignment (&lt;, &gt;)</t>
  </si>
  <si>
    <t xml:space="preserve">  All code committed to GitHub — https://github.com/hadhanushkadesilva-web/Python-Practice/tree/python_fastapi_learning  (available for review on request)</t>
  </si>
  <si>
    <t xml:space="preserve">  30-DAY TRACKER</t>
  </si>
  <si>
    <t xml:space="preserve">  Fill in Planned Date, pick a Status each day, log Hours Spent and Notes — the dashboard below updates automatically.</t>
  </si>
  <si>
    <t>Day #</t>
  </si>
  <si>
    <t>Planned Date</t>
  </si>
  <si>
    <t>Subtopics</t>
  </si>
  <si>
    <t>Daily Milestone</t>
  </si>
  <si>
    <t>Completion Date</t>
  </si>
  <si>
    <t>Hours Spent</t>
  </si>
  <si>
    <t>Notes</t>
  </si>
  <si>
    <t>Conditions</t>
  </si>
  <si>
    <t>if/elif/else, comparison &amp; logical operators</t>
  </si>
  <si>
    <t>Tiered discount calculator</t>
  </si>
  <si>
    <t>Not Started</t>
  </si>
  <si>
    <t>Loops</t>
  </si>
  <si>
    <t>for, while, range, break, continue, nested</t>
  </si>
  <si>
    <t>Number-guessing game with attempt limit</t>
  </si>
  <si>
    <t>Lists and tuples</t>
  </si>
  <si>
    <t>Methods, iteration, unpacking</t>
  </si>
  <si>
    <t>To-do list manager (add/remove/mark done)</t>
  </si>
  <si>
    <t>Dictionaries and sets</t>
  </si>
  <si>
    <t>Lookups, methods, iteration</t>
  </si>
  <si>
    <t>Student grade tracker with averages</t>
  </si>
  <si>
    <t>Functions</t>
  </si>
  <si>
    <t>Parameters, return, default args, scope</t>
  </si>
  <si>
    <t>Refactor to-do app into clean functions</t>
  </si>
  <si>
    <t>Error handling</t>
  </si>
  <si>
    <t>try/except/else/finally, raise, custom errors</t>
  </si>
  <si>
    <t>Bullet-proof calculator that never crashes</t>
  </si>
  <si>
    <t>File handling + JSON</t>
  </si>
  <si>
    <t>Read/write files, JSON serialization</t>
  </si>
  <si>
    <t>Save/load to-do app to a JSON file</t>
  </si>
  <si>
    <t>Modules, pip, venv</t>
  </si>
  <si>
    <t>Imports, packages, virtual environments, requirements.txt</t>
  </si>
  <si>
    <t>Project folder with working venv and pinned deps</t>
  </si>
  <si>
    <t>Comprehensions, lambda, map/filter</t>
  </si>
  <si>
    <t>List/dict comprehensions, sorted/enumerate/zip</t>
  </si>
  <si>
    <t>Refactor scripts using comprehensions</t>
  </si>
  <si>
    <t>OOP basics</t>
  </si>
  <si>
    <t>class, __init__, self, methods, __str__</t>
  </si>
  <si>
    <t>Employee class with attributes and readable output</t>
  </si>
  <si>
    <t>OOP advanced</t>
  </si>
  <si>
    <t>Inheritance, encapsulation, class vs instance</t>
  </si>
  <si>
    <t>Manager(Employee) subclass</t>
  </si>
  <si>
    <t>Python mini project</t>
  </si>
  <si>
    <t>Apply OOP + file handling</t>
  </si>
  <si>
    <t>OOP-based inventory system with persistence</t>
  </si>
  <si>
    <t>Buffer / Python review</t>
  </si>
  <si>
    <t>Revisit any weak topic, clean up GitHub commits</t>
  </si>
  <si>
    <t>Self-quiz + all Python files committed</t>
  </si>
  <si>
    <t>REST + first FastAPI + VS Code debug</t>
  </si>
  <si>
    <t>HTTP methods, Swagger UI, launch.json, F5, breakpoints, watch window</t>
  </si>
  <si>
    <t>/hello endpoint live + breakpoint hit in VS Code</t>
  </si>
  <si>
    <t>Path and query parameters</t>
  </si>
  <si>
    <t>Path params, query params, type hints</t>
  </si>
  <si>
    <t>/employees/{id}?active=true endpoint</t>
  </si>
  <si>
    <t>Request body + Pydantic validation</t>
  </si>
  <si>
    <t>BaseModel, validation, response models</t>
  </si>
  <si>
    <t>POST /employees accepting validated JSON</t>
  </si>
  <si>
    <t>CRUD in-memory + Python logging</t>
  </si>
  <si>
    <t>GET/POST/PUT/DELETE + replace print() with logging (DEBUG/INFO/ERROR)</t>
  </si>
  <si>
    <t>Full CRUD with proper log output to terminal</t>
  </si>
  <si>
    <t>Project structure</t>
  </si>
  <si>
    <t>Routers, schemas, services separation</t>
  </si>
  <si>
    <t>Reorganize project into clean folders</t>
  </si>
  <si>
    <t>SQL + SQLite basics</t>
  </si>
  <si>
    <t>Tables, SELECT/INSERT/UPDATE/DELETE</t>
  </si>
  <si>
    <t>Local .db file with employees table and seed data</t>
  </si>
  <si>
    <t>FastAPI + SQLite integration</t>
  </si>
  <si>
    <t>SQLModel/SQLAlchemy with FastAPI</t>
  </si>
  <si>
    <t>CRUD endpoints persisting to SQLite</t>
  </si>
  <si>
    <t>Alembic migrations</t>
  </si>
  <si>
    <t>Track DB schema changes, generate + apply migrations</t>
  </si>
  <si>
    <t>Add a new column via migration without losing data</t>
  </si>
  <si>
    <t>JWT + bcrypt + CORS</t>
  </si>
  <si>
    <t>passlib/bcrypt password hashing, JWT tokens, CORS middleware</t>
  </si>
  <si>
    <t>Login endpoint issues JWT; protected route checks it</t>
  </si>
  <si>
    <t>DI + middleware + custom exception handlers</t>
  </si>
  <si>
    <t>Depends, request lifecycle, @app.exception_handler</t>
  </si>
  <si>
    <t>DB session via Depends + clean JSON error responses</t>
  </si>
  <si>
    <t>Testing with pytest + --pdb</t>
  </si>
  <si>
    <t>pytest, TestClient, assertions, debug failing tests</t>
  </si>
  <si>
    <t>Test suite covering CRUD + auth passing</t>
  </si>
  <si>
    <t>NumPy + Pandas</t>
  </si>
  <si>
    <t>Arrays, DataFrames, reading CSV</t>
  </si>
  <si>
    <t>Load CSV and run summary stats</t>
  </si>
  <si>
    <t>scikit-learn basics</t>
  </si>
  <si>
    <t>Datasets, train/test split, fit/predict</t>
  </si>
  <si>
    <t>Train a simple classifier on sample data</t>
  </si>
  <si>
    <t>Train + evaluate model</t>
  </si>
  <si>
    <t>Metrics, accuracy, validation</t>
  </si>
  <si>
    <t>Trained model with measured accuracy on test data</t>
  </si>
  <si>
    <t>Save/load + integrate ML into FastAPI</t>
  </si>
  <si>
    <t>joblib persistence, /predict endpoint with input validation</t>
  </si>
  <si>
    <t>API takes JSON, returns model prediction</t>
  </si>
  <si>
    <t>Docker containerization</t>
  </si>
  <si>
    <t>Dockerfile (multi-stage), build image, run container, docker logs</t>
  </si>
  <si>
    <t>FastAPI + ML app running inside a container</t>
  </si>
  <si>
    <t>Capstone polish + final demo</t>
  </si>
  <si>
    <t>README, run instructions, GitHub cleanup, live demo</t>
  </si>
  <si>
    <t>Live demo to supervisor + GitHub repo link delivered</t>
  </si>
  <si>
    <t xml:space="preserve">  PROGRESS DASHBOARD</t>
  </si>
  <si>
    <t>Total Days</t>
  </si>
  <si>
    <t>Complete</t>
  </si>
  <si>
    <t>In Progress</t>
  </si>
  <si>
    <t>Blocked</t>
  </si>
  <si>
    <t>Progress %</t>
  </si>
  <si>
    <t xml:space="preserve">  SUCCESS CRITERIA</t>
  </si>
  <si>
    <t>1.  Write clean, modular Python using functions and OOP.</t>
  </si>
  <si>
    <t>2.  Build a FastAPI app with validation, CRUD, database, JWT auth, custom exception handlers, logging, and tests.</t>
  </si>
  <si>
    <t>3.  Train a basic ML model with scikit-learn and serve predictions via FastAPI.</t>
  </si>
  <si>
    <t>4.  Containerize the final app with Docker and demo it live to supervisor (GitHub link delivered).</t>
  </si>
  <si>
    <t xml:space="preserve">  TOOLING</t>
  </si>
  <si>
    <t>Language</t>
  </si>
  <si>
    <t>Python 3.12+</t>
  </si>
  <si>
    <t>Editor / IDE</t>
  </si>
  <si>
    <t>VS Code with debugger (launch.json, F5, breakpoints, watch)</t>
  </si>
  <si>
    <t>Web framework</t>
  </si>
  <si>
    <t>FastAPI + Uvicorn</t>
  </si>
  <si>
    <t>Database</t>
  </si>
  <si>
    <t>SQLite + SQLModel / SQLAlchemy + Alembic migrations</t>
  </si>
  <si>
    <t>Auth</t>
  </si>
  <si>
    <t>passlib + bcrypt + JWT (python-jose)</t>
  </si>
  <si>
    <t>Logging</t>
  </si>
  <si>
    <t>Python built-in logging module</t>
  </si>
  <si>
    <t>ML libraries</t>
  </si>
  <si>
    <t>NumPy, Pandas, scikit-learn, joblib</t>
  </si>
  <si>
    <t>Testing</t>
  </si>
  <si>
    <t>pytest + FastAPI TestClient (with --pdb)</t>
  </si>
  <si>
    <t>Containerization</t>
  </si>
  <si>
    <t>Docker (multi-stage Dockerfile)</t>
  </si>
  <si>
    <t>Version control</t>
  </si>
  <si>
    <t>Git + GitHub (commit per completed day)</t>
  </si>
  <si>
    <t xml:space="preserve">30 lesson days </t>
  </si>
  <si>
    <t>Dhanushka De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</si>
</sst>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22"/>
      <color rgb="FF0F1F3D"/>
      <name val="Calibri"/>
    </font>
    <font>
      <b/>
      <sz val="13"/>
      <color rgb="FF385B9C"/>
      <name val="Calibri"/>
    </font>
    <font>
      <b/>
      <sz val="11"/>
      <color rgb="FF1F3864"/>
      <name val="Calibri"/>
    </font>
    <font>
      <sz val="11"/>
      <color rgb="FF1C1C1C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1B5E20"/>
      <name val="Calibri"/>
    </font>
    <font>
      <i/>
      <u/>
      <sz val="10"/>
      <color rgb="FF0563C1"/>
      <name val="Calibri"/>
    </font>
    <font>
      <i/>
      <sz val="10"/>
      <color rgb="FF555F7A"/>
      <name val="Calibri"/>
    </font>
    <font>
      <b/>
      <sz val="10"/>
      <color rgb="FF385B9C"/>
      <name val="Calibri"/>
    </font>
    <font>
      <b/>
      <sz val="20"/>
      <color rgb="FF0F1F3D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9A227"/>
      </patternFill>
    </fill>
    <fill>
      <patternFill patternType="solid">
        <fgColor rgb="FF1B5E20"/>
      </patternFill>
    </fill>
    <fill>
      <patternFill patternType="solid">
        <fgColor rgb="FF1F3864"/>
      </patternFill>
    </fill>
    <fill>
      <patternFill patternType="solid">
        <fgColor rgb="FFDFF1E0"/>
      </patternFill>
    </fill>
    <fill>
      <patternFill patternType="solid">
        <fgColor rgb="FFF5F8FC"/>
      </patternFill>
    </fill>
    <fill>
      <patternFill patternType="solid">
        <fgColor rgb="FFE8EFF8"/>
      </patternFill>
    </fill>
  </fills>
  <borders count="6">
    <border>
      <left/>
      <right/>
      <top/>
      <bottom/>
      <diagonal/>
    </border>
    <border>
      <left style="thin">
        <color rgb="FFB8C4D8"/>
      </left>
      <right style="thin">
        <color rgb="FFB8C4D8"/>
      </right>
      <top style="thin">
        <color rgb="FFB8C4D8"/>
      </top>
      <bottom style="thin">
        <color rgb="FFB8C4D8"/>
      </bottom>
      <diagonal/>
    </border>
    <border>
      <left/>
      <right style="thin">
        <color rgb="FFB8C4D8"/>
      </right>
      <top style="thin">
        <color rgb="FFB8C4D8"/>
      </top>
      <bottom style="thin">
        <color rgb="FFB8C4D8"/>
      </bottom>
      <diagonal/>
    </border>
    <border>
      <left/>
      <right/>
      <top style="thin">
        <color rgb="FFB8C4D8"/>
      </top>
      <bottom style="thin">
        <color rgb="FFB8C4D8"/>
      </bottom>
      <diagonal/>
    </border>
    <border>
      <left style="medium">
        <color rgb="FF1F3864"/>
      </left>
      <right style="medium">
        <color rgb="FF1F3864"/>
      </right>
      <top style="medium">
        <color rgb="FFC9A227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/>
      <bottom style="medium">
        <color rgb="FF1F38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5" fontId="4" fillId="6" borderId="1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1" fontId="11" fillId="7" borderId="5" xfId="0" applyNumberFormat="1" applyFont="1" applyFill="1" applyBorder="1" applyAlignment="1">
      <alignment horizontal="center" vertical="center" wrapText="1"/>
    </xf>
    <xf numFmtId="166" fontId="11" fillId="7" borderId="5" xfId="0" applyNumberFormat="1" applyFont="1" applyFill="1" applyBorder="1" applyAlignment="1">
      <alignment horizontal="center" vertical="center" wrapText="1"/>
    </xf>
    <xf numFmtId="165" fontId="11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0" fillId="0" borderId="2" xfId="0" applyBorder="1"/>
    <xf numFmtId="0" fontId="4" fillId="0" borderId="0" xfId="0" applyFont="1" applyAlignment="1">
      <alignment horizontal="left" vertical="center" indent="1"/>
    </xf>
    <xf numFmtId="0" fontId="0" fillId="2" borderId="0" xfId="0" applyFill="1"/>
    <xf numFmtId="0" fontId="4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2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4">
    <dxf>
      <font>
        <b/>
        <color rgb="FFB71C1C"/>
        <name val="Calibri"/>
      </font>
      <fill>
        <patternFill patternType="solid">
          <fgColor rgb="FFF8C9C9"/>
        </patternFill>
      </fill>
    </dxf>
    <dxf>
      <font>
        <b/>
        <color rgb="FF4B5563"/>
        <name val="Calibri"/>
      </font>
      <fill>
        <patternFill patternType="solid">
          <fgColor rgb="FFE5E7EB"/>
        </patternFill>
      </fill>
    </dxf>
    <dxf>
      <font>
        <b/>
        <color rgb="FF8C5A00"/>
        <name val="Calibri"/>
      </font>
      <fill>
        <patternFill patternType="solid">
          <fgColor rgb="FFFCE7B5"/>
        </patternFill>
      </fill>
    </dxf>
    <dxf>
      <font>
        <b/>
        <color rgb="FF1B5E20"/>
        <name val="Calibri"/>
      </font>
      <fill>
        <patternFill patternType="solid">
          <fgColor rgb="FFCDE8D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showGridLines="0" tabSelected="1" workbookViewId="0">
      <selection activeCell="C6" sqref="C6:E6"/>
    </sheetView>
  </sheetViews>
  <sheetFormatPr defaultRowHeight="14.5" x14ac:dyDescent="0.35"/>
  <cols>
    <col min="1" max="1" width="8" customWidth="1"/>
    <col min="2" max="2" width="14" customWidth="1"/>
    <col min="3" max="3" width="30" customWidth="1"/>
    <col min="4" max="4" width="38" customWidth="1"/>
    <col min="5" max="5" width="42" customWidth="1"/>
    <col min="6" max="7" width="16" customWidth="1"/>
    <col min="8" max="8" width="14" customWidth="1"/>
    <col min="9" max="9" width="32" customWidth="1"/>
  </cols>
  <sheetData>
    <row r="1" spans="1:9" ht="36" customHeight="1" x14ac:dyDescent="0.35">
      <c r="A1" s="30" t="s">
        <v>0</v>
      </c>
      <c r="B1" s="16"/>
      <c r="C1" s="16"/>
      <c r="D1" s="16"/>
      <c r="E1" s="16"/>
      <c r="F1" s="16"/>
      <c r="G1" s="16"/>
      <c r="H1" s="16"/>
      <c r="I1" s="16"/>
    </row>
    <row r="2" spans="1:9" ht="22" customHeight="1" x14ac:dyDescent="0.35">
      <c r="A2" s="25" t="s">
        <v>1</v>
      </c>
      <c r="B2" s="16"/>
      <c r="C2" s="16"/>
      <c r="D2" s="16"/>
      <c r="E2" s="16"/>
      <c r="F2" s="16"/>
      <c r="G2" s="16"/>
      <c r="H2" s="16"/>
      <c r="I2" s="16"/>
    </row>
    <row r="3" spans="1:9" ht="4" customHeight="1" x14ac:dyDescent="0.35">
      <c r="A3" s="22"/>
      <c r="B3" s="16"/>
      <c r="C3" s="16"/>
      <c r="D3" s="16"/>
      <c r="E3" s="16"/>
      <c r="F3" s="16"/>
      <c r="G3" s="16"/>
      <c r="H3" s="16"/>
      <c r="I3" s="16"/>
    </row>
    <row r="5" spans="1:9" ht="22" customHeight="1" x14ac:dyDescent="0.35">
      <c r="A5" s="18" t="s">
        <v>2</v>
      </c>
      <c r="B5" s="16"/>
      <c r="C5" s="15" t="s">
        <v>155</v>
      </c>
      <c r="D5" s="16"/>
      <c r="E5" s="16"/>
      <c r="F5" s="1" t="s">
        <v>3</v>
      </c>
      <c r="G5" s="15" t="s">
        <v>154</v>
      </c>
      <c r="H5" s="16"/>
      <c r="I5" s="16"/>
    </row>
    <row r="6" spans="1:9" ht="22" customHeight="1" x14ac:dyDescent="0.35">
      <c r="A6" s="18" t="s">
        <v>4</v>
      </c>
      <c r="B6" s="16"/>
      <c r="C6" s="15" t="s">
        <v>5</v>
      </c>
      <c r="D6" s="16"/>
      <c r="E6" s="16"/>
      <c r="F6" s="1" t="s">
        <v>6</v>
      </c>
      <c r="G6" s="15" t="s">
        <v>7</v>
      </c>
      <c r="H6" s="16"/>
      <c r="I6" s="16"/>
    </row>
    <row r="7" spans="1:9" ht="22" customHeight="1" x14ac:dyDescent="0.35">
      <c r="A7" s="18" t="s">
        <v>8</v>
      </c>
      <c r="B7" s="16"/>
      <c r="C7" s="15" t="s">
        <v>9</v>
      </c>
      <c r="D7" s="16"/>
      <c r="E7" s="16"/>
      <c r="F7" s="1" t="s">
        <v>10</v>
      </c>
      <c r="G7" s="15" t="s">
        <v>11</v>
      </c>
      <c r="H7" s="16"/>
      <c r="I7" s="16"/>
    </row>
    <row r="9" spans="1:9" ht="24" customHeight="1" x14ac:dyDescent="0.35">
      <c r="A9" s="28" t="s">
        <v>12</v>
      </c>
      <c r="B9" s="16"/>
      <c r="C9" s="16"/>
      <c r="D9" s="16"/>
      <c r="E9" s="16"/>
      <c r="F9" s="16"/>
      <c r="G9" s="16"/>
      <c r="H9" s="16"/>
      <c r="I9" s="16"/>
    </row>
    <row r="10" spans="1:9" ht="24" customHeight="1" x14ac:dyDescent="0.35">
      <c r="A10" s="29" t="s">
        <v>13</v>
      </c>
      <c r="B10" s="20"/>
      <c r="C10" s="29" t="s">
        <v>14</v>
      </c>
      <c r="D10" s="24"/>
      <c r="E10" s="24"/>
      <c r="F10" s="24"/>
      <c r="G10" s="24"/>
      <c r="H10" s="24"/>
      <c r="I10" s="20"/>
    </row>
    <row r="11" spans="1:9" ht="28" customHeight="1" x14ac:dyDescent="0.35">
      <c r="A11" s="19" t="s">
        <v>15</v>
      </c>
      <c r="B11" s="20"/>
      <c r="C11" s="23" t="s">
        <v>16</v>
      </c>
      <c r="D11" s="24"/>
      <c r="E11" s="24"/>
      <c r="F11" s="24"/>
      <c r="G11" s="24"/>
      <c r="H11" s="24"/>
      <c r="I11" s="20"/>
    </row>
    <row r="12" spans="1:9" ht="28" customHeight="1" x14ac:dyDescent="0.35">
      <c r="A12" s="19" t="s">
        <v>17</v>
      </c>
      <c r="B12" s="20"/>
      <c r="C12" s="23" t="s">
        <v>18</v>
      </c>
      <c r="D12" s="24"/>
      <c r="E12" s="24"/>
      <c r="F12" s="24"/>
      <c r="G12" s="24"/>
      <c r="H12" s="24"/>
      <c r="I12" s="20"/>
    </row>
    <row r="13" spans="1:9" ht="28" customHeight="1" x14ac:dyDescent="0.35">
      <c r="A13" s="19" t="s">
        <v>19</v>
      </c>
      <c r="B13" s="20"/>
      <c r="C13" s="23" t="s">
        <v>20</v>
      </c>
      <c r="D13" s="24"/>
      <c r="E13" s="24"/>
      <c r="F13" s="24"/>
      <c r="G13" s="24"/>
      <c r="H13" s="24"/>
      <c r="I13" s="20"/>
    </row>
    <row r="14" spans="1:9" ht="20" customHeight="1" x14ac:dyDescent="0.35">
      <c r="A14" s="26" t="s">
        <v>21</v>
      </c>
      <c r="B14" s="16"/>
      <c r="C14" s="16"/>
      <c r="D14" s="16"/>
      <c r="E14" s="16"/>
      <c r="F14" s="16"/>
      <c r="G14" s="16"/>
      <c r="H14" s="16"/>
      <c r="I14" s="16"/>
    </row>
    <row r="16" spans="1:9" ht="24" customHeight="1" x14ac:dyDescent="0.35">
      <c r="A16" s="17" t="s">
        <v>22</v>
      </c>
      <c r="B16" s="16"/>
      <c r="C16" s="16"/>
      <c r="D16" s="16"/>
      <c r="E16" s="16"/>
      <c r="F16" s="16"/>
      <c r="G16" s="16"/>
      <c r="H16" s="16"/>
      <c r="I16" s="16"/>
    </row>
    <row r="17" spans="1:9" ht="8.5" customHeight="1" x14ac:dyDescent="0.35">
      <c r="A17" s="27" t="s">
        <v>23</v>
      </c>
      <c r="B17" s="16"/>
      <c r="C17" s="16"/>
      <c r="D17" s="16"/>
      <c r="E17" s="16"/>
      <c r="F17" s="16"/>
      <c r="G17" s="16"/>
      <c r="H17" s="16"/>
      <c r="I17" s="16"/>
    </row>
    <row r="18" spans="1:9" ht="28" customHeight="1" x14ac:dyDescent="0.35">
      <c r="A18" s="2" t="s">
        <v>24</v>
      </c>
      <c r="B18" s="2" t="s">
        <v>25</v>
      </c>
      <c r="C18" s="2" t="s">
        <v>13</v>
      </c>
      <c r="D18" s="2" t="s">
        <v>26</v>
      </c>
      <c r="E18" s="2" t="s">
        <v>27</v>
      </c>
      <c r="F18" s="2" t="s">
        <v>8</v>
      </c>
      <c r="G18" s="2" t="s">
        <v>28</v>
      </c>
      <c r="H18" s="2" t="s">
        <v>29</v>
      </c>
      <c r="I18" s="2" t="s">
        <v>30</v>
      </c>
    </row>
    <row r="19" spans="1:9" ht="36" customHeight="1" x14ac:dyDescent="0.35">
      <c r="A19" s="3">
        <v>1</v>
      </c>
      <c r="B19" s="4"/>
      <c r="C19" s="5" t="s">
        <v>31</v>
      </c>
      <c r="D19" s="5" t="s">
        <v>32</v>
      </c>
      <c r="E19" s="5" t="s">
        <v>33</v>
      </c>
      <c r="F19" s="3" t="s">
        <v>34</v>
      </c>
      <c r="G19" s="4"/>
      <c r="H19" s="6"/>
      <c r="I19" s="5"/>
    </row>
    <row r="20" spans="1:9" ht="36" customHeight="1" x14ac:dyDescent="0.35">
      <c r="A20" s="7">
        <v>2</v>
      </c>
      <c r="B20" s="8"/>
      <c r="C20" s="9" t="s">
        <v>35</v>
      </c>
      <c r="D20" s="9" t="s">
        <v>36</v>
      </c>
      <c r="E20" s="9" t="s">
        <v>37</v>
      </c>
      <c r="F20" s="3" t="s">
        <v>34</v>
      </c>
      <c r="G20" s="8"/>
      <c r="H20" s="10"/>
      <c r="I20" s="9"/>
    </row>
    <row r="21" spans="1:9" ht="36" customHeight="1" x14ac:dyDescent="0.35">
      <c r="A21" s="3">
        <v>3</v>
      </c>
      <c r="B21" s="4"/>
      <c r="C21" s="5" t="s">
        <v>38</v>
      </c>
      <c r="D21" s="5" t="s">
        <v>39</v>
      </c>
      <c r="E21" s="5" t="s">
        <v>40</v>
      </c>
      <c r="F21" s="3" t="s">
        <v>34</v>
      </c>
      <c r="G21" s="4"/>
      <c r="H21" s="6"/>
      <c r="I21" s="5"/>
    </row>
    <row r="22" spans="1:9" ht="36" customHeight="1" x14ac:dyDescent="0.35">
      <c r="A22" s="7">
        <v>4</v>
      </c>
      <c r="B22" s="8"/>
      <c r="C22" s="9" t="s">
        <v>41</v>
      </c>
      <c r="D22" s="9" t="s">
        <v>42</v>
      </c>
      <c r="E22" s="9" t="s">
        <v>43</v>
      </c>
      <c r="F22" s="3" t="s">
        <v>34</v>
      </c>
      <c r="G22" s="8"/>
      <c r="H22" s="10"/>
      <c r="I22" s="9"/>
    </row>
    <row r="23" spans="1:9" ht="36" customHeight="1" x14ac:dyDescent="0.35">
      <c r="A23" s="3">
        <v>5</v>
      </c>
      <c r="B23" s="4"/>
      <c r="C23" s="5" t="s">
        <v>44</v>
      </c>
      <c r="D23" s="5" t="s">
        <v>45</v>
      </c>
      <c r="E23" s="5" t="s">
        <v>46</v>
      </c>
      <c r="F23" s="3" t="s">
        <v>34</v>
      </c>
      <c r="G23" s="4"/>
      <c r="H23" s="6"/>
      <c r="I23" s="5"/>
    </row>
    <row r="24" spans="1:9" ht="36" customHeight="1" x14ac:dyDescent="0.35">
      <c r="A24" s="7">
        <v>6</v>
      </c>
      <c r="B24" s="8"/>
      <c r="C24" s="9" t="s">
        <v>47</v>
      </c>
      <c r="D24" s="9" t="s">
        <v>48</v>
      </c>
      <c r="E24" s="9" t="s">
        <v>49</v>
      </c>
      <c r="F24" s="3" t="s">
        <v>34</v>
      </c>
      <c r="G24" s="8"/>
      <c r="H24" s="10"/>
      <c r="I24" s="9"/>
    </row>
    <row r="25" spans="1:9" ht="36" customHeight="1" x14ac:dyDescent="0.35">
      <c r="A25" s="3">
        <v>7</v>
      </c>
      <c r="B25" s="4"/>
      <c r="C25" s="5" t="s">
        <v>50</v>
      </c>
      <c r="D25" s="5" t="s">
        <v>51</v>
      </c>
      <c r="E25" s="5" t="s">
        <v>52</v>
      </c>
      <c r="F25" s="3" t="s">
        <v>34</v>
      </c>
      <c r="G25" s="4"/>
      <c r="H25" s="6"/>
      <c r="I25" s="5"/>
    </row>
    <row r="26" spans="1:9" ht="36" customHeight="1" x14ac:dyDescent="0.35">
      <c r="A26" s="7">
        <v>8</v>
      </c>
      <c r="B26" s="8"/>
      <c r="C26" s="9" t="s">
        <v>53</v>
      </c>
      <c r="D26" s="9" t="s">
        <v>54</v>
      </c>
      <c r="E26" s="9" t="s">
        <v>55</v>
      </c>
      <c r="F26" s="3" t="s">
        <v>34</v>
      </c>
      <c r="G26" s="8"/>
      <c r="H26" s="10"/>
      <c r="I26" s="9"/>
    </row>
    <row r="27" spans="1:9" ht="36" customHeight="1" x14ac:dyDescent="0.35">
      <c r="A27" s="3">
        <v>9</v>
      </c>
      <c r="B27" s="4"/>
      <c r="C27" s="5" t="s">
        <v>56</v>
      </c>
      <c r="D27" s="5" t="s">
        <v>57</v>
      </c>
      <c r="E27" s="5" t="s">
        <v>58</v>
      </c>
      <c r="F27" s="3" t="s">
        <v>34</v>
      </c>
      <c r="G27" s="4"/>
      <c r="H27" s="6"/>
      <c r="I27" s="5"/>
    </row>
    <row r="28" spans="1:9" ht="36" customHeight="1" x14ac:dyDescent="0.35">
      <c r="A28" s="7">
        <v>10</v>
      </c>
      <c r="B28" s="8"/>
      <c r="C28" s="9" t="s">
        <v>59</v>
      </c>
      <c r="D28" s="9" t="s">
        <v>60</v>
      </c>
      <c r="E28" s="9" t="s">
        <v>61</v>
      </c>
      <c r="F28" s="3" t="s">
        <v>34</v>
      </c>
      <c r="G28" s="8"/>
      <c r="H28" s="10"/>
      <c r="I28" s="9"/>
    </row>
    <row r="29" spans="1:9" ht="36" customHeight="1" x14ac:dyDescent="0.35">
      <c r="A29" s="3">
        <v>11</v>
      </c>
      <c r="B29" s="4"/>
      <c r="C29" s="5" t="s">
        <v>62</v>
      </c>
      <c r="D29" s="5" t="s">
        <v>63</v>
      </c>
      <c r="E29" s="5" t="s">
        <v>64</v>
      </c>
      <c r="F29" s="3" t="s">
        <v>34</v>
      </c>
      <c r="G29" s="4"/>
      <c r="H29" s="6"/>
      <c r="I29" s="5"/>
    </row>
    <row r="30" spans="1:9" ht="36" customHeight="1" x14ac:dyDescent="0.35">
      <c r="A30" s="7">
        <v>12</v>
      </c>
      <c r="B30" s="8"/>
      <c r="C30" s="9" t="s">
        <v>65</v>
      </c>
      <c r="D30" s="9" t="s">
        <v>66</v>
      </c>
      <c r="E30" s="9" t="s">
        <v>67</v>
      </c>
      <c r="F30" s="3" t="s">
        <v>34</v>
      </c>
      <c r="G30" s="8"/>
      <c r="H30" s="10"/>
      <c r="I30" s="9"/>
    </row>
    <row r="31" spans="1:9" ht="36" customHeight="1" x14ac:dyDescent="0.35">
      <c r="A31" s="3">
        <v>13</v>
      </c>
      <c r="B31" s="4"/>
      <c r="C31" s="5" t="s">
        <v>68</v>
      </c>
      <c r="D31" s="5" t="s">
        <v>69</v>
      </c>
      <c r="E31" s="5" t="s">
        <v>70</v>
      </c>
      <c r="F31" s="3" t="s">
        <v>34</v>
      </c>
      <c r="G31" s="4"/>
      <c r="H31" s="6"/>
      <c r="I31" s="5"/>
    </row>
    <row r="32" spans="1:9" ht="36" customHeight="1" x14ac:dyDescent="0.35">
      <c r="A32" s="7">
        <v>14</v>
      </c>
      <c r="B32" s="8"/>
      <c r="C32" s="9" t="s">
        <v>71</v>
      </c>
      <c r="D32" s="9" t="s">
        <v>72</v>
      </c>
      <c r="E32" s="9" t="s">
        <v>73</v>
      </c>
      <c r="F32" s="3" t="s">
        <v>34</v>
      </c>
      <c r="G32" s="8"/>
      <c r="H32" s="10"/>
      <c r="I32" s="9"/>
    </row>
    <row r="33" spans="1:9" ht="36" customHeight="1" x14ac:dyDescent="0.35">
      <c r="A33" s="3">
        <v>15</v>
      </c>
      <c r="B33" s="4"/>
      <c r="C33" s="5" t="s">
        <v>74</v>
      </c>
      <c r="D33" s="5" t="s">
        <v>75</v>
      </c>
      <c r="E33" s="5" t="s">
        <v>76</v>
      </c>
      <c r="F33" s="3" t="s">
        <v>34</v>
      </c>
      <c r="G33" s="4"/>
      <c r="H33" s="6"/>
      <c r="I33" s="5"/>
    </row>
    <row r="34" spans="1:9" ht="36" customHeight="1" x14ac:dyDescent="0.35">
      <c r="A34" s="7">
        <v>16</v>
      </c>
      <c r="B34" s="8"/>
      <c r="C34" s="9" t="s">
        <v>77</v>
      </c>
      <c r="D34" s="9" t="s">
        <v>78</v>
      </c>
      <c r="E34" s="9" t="s">
        <v>79</v>
      </c>
      <c r="F34" s="3" t="s">
        <v>34</v>
      </c>
      <c r="G34" s="8"/>
      <c r="H34" s="10"/>
      <c r="I34" s="9"/>
    </row>
    <row r="35" spans="1:9" ht="36" customHeight="1" x14ac:dyDescent="0.35">
      <c r="A35" s="3">
        <v>17</v>
      </c>
      <c r="B35" s="4"/>
      <c r="C35" s="5" t="s">
        <v>80</v>
      </c>
      <c r="D35" s="5" t="s">
        <v>81</v>
      </c>
      <c r="E35" s="5" t="s">
        <v>82</v>
      </c>
      <c r="F35" s="3" t="s">
        <v>34</v>
      </c>
      <c r="G35" s="4"/>
      <c r="H35" s="6"/>
      <c r="I35" s="5"/>
    </row>
    <row r="36" spans="1:9" ht="36" customHeight="1" x14ac:dyDescent="0.35">
      <c r="A36" s="7">
        <v>18</v>
      </c>
      <c r="B36" s="8"/>
      <c r="C36" s="9" t="s">
        <v>83</v>
      </c>
      <c r="D36" s="9" t="s">
        <v>84</v>
      </c>
      <c r="E36" s="9" t="s">
        <v>85</v>
      </c>
      <c r="F36" s="3" t="s">
        <v>34</v>
      </c>
      <c r="G36" s="8"/>
      <c r="H36" s="10"/>
      <c r="I36" s="9"/>
    </row>
    <row r="37" spans="1:9" ht="36" customHeight="1" x14ac:dyDescent="0.35">
      <c r="A37" s="3">
        <v>19</v>
      </c>
      <c r="B37" s="4"/>
      <c r="C37" s="5" t="s">
        <v>86</v>
      </c>
      <c r="D37" s="5" t="s">
        <v>87</v>
      </c>
      <c r="E37" s="5" t="s">
        <v>88</v>
      </c>
      <c r="F37" s="3" t="s">
        <v>34</v>
      </c>
      <c r="G37" s="4"/>
      <c r="H37" s="6"/>
      <c r="I37" s="5"/>
    </row>
    <row r="38" spans="1:9" ht="36" customHeight="1" x14ac:dyDescent="0.35">
      <c r="A38" s="7">
        <v>20</v>
      </c>
      <c r="B38" s="8"/>
      <c r="C38" s="9" t="s">
        <v>89</v>
      </c>
      <c r="D38" s="9" t="s">
        <v>90</v>
      </c>
      <c r="E38" s="9" t="s">
        <v>91</v>
      </c>
      <c r="F38" s="3" t="s">
        <v>34</v>
      </c>
      <c r="G38" s="8"/>
      <c r="H38" s="10"/>
      <c r="I38" s="9"/>
    </row>
    <row r="39" spans="1:9" ht="36" customHeight="1" x14ac:dyDescent="0.35">
      <c r="A39" s="3">
        <v>21</v>
      </c>
      <c r="B39" s="4"/>
      <c r="C39" s="5" t="s">
        <v>92</v>
      </c>
      <c r="D39" s="5" t="s">
        <v>93</v>
      </c>
      <c r="E39" s="5" t="s">
        <v>94</v>
      </c>
      <c r="F39" s="3" t="s">
        <v>34</v>
      </c>
      <c r="G39" s="4"/>
      <c r="H39" s="6"/>
      <c r="I39" s="5"/>
    </row>
    <row r="40" spans="1:9" ht="36" customHeight="1" x14ac:dyDescent="0.35">
      <c r="A40" s="7">
        <v>22</v>
      </c>
      <c r="B40" s="8"/>
      <c r="C40" s="9" t="s">
        <v>95</v>
      </c>
      <c r="D40" s="9" t="s">
        <v>96</v>
      </c>
      <c r="E40" s="9" t="s">
        <v>97</v>
      </c>
      <c r="F40" s="3" t="s">
        <v>34</v>
      </c>
      <c r="G40" s="8"/>
      <c r="H40" s="10"/>
      <c r="I40" s="9"/>
    </row>
    <row r="41" spans="1:9" ht="36" customHeight="1" x14ac:dyDescent="0.35">
      <c r="A41" s="3">
        <v>23</v>
      </c>
      <c r="B41" s="4"/>
      <c r="C41" s="5" t="s">
        <v>98</v>
      </c>
      <c r="D41" s="5" t="s">
        <v>99</v>
      </c>
      <c r="E41" s="5" t="s">
        <v>100</v>
      </c>
      <c r="F41" s="3" t="s">
        <v>34</v>
      </c>
      <c r="G41" s="4"/>
      <c r="H41" s="6"/>
      <c r="I41" s="5"/>
    </row>
    <row r="42" spans="1:9" ht="36" customHeight="1" x14ac:dyDescent="0.35">
      <c r="A42" s="7">
        <v>24</v>
      </c>
      <c r="B42" s="8"/>
      <c r="C42" s="9" t="s">
        <v>101</v>
      </c>
      <c r="D42" s="9" t="s">
        <v>102</v>
      </c>
      <c r="E42" s="9" t="s">
        <v>103</v>
      </c>
      <c r="F42" s="3" t="s">
        <v>34</v>
      </c>
      <c r="G42" s="8"/>
      <c r="H42" s="10"/>
      <c r="I42" s="9"/>
    </row>
    <row r="43" spans="1:9" ht="36" customHeight="1" x14ac:dyDescent="0.35">
      <c r="A43" s="3">
        <v>25</v>
      </c>
      <c r="B43" s="4"/>
      <c r="C43" s="5" t="s">
        <v>104</v>
      </c>
      <c r="D43" s="5" t="s">
        <v>105</v>
      </c>
      <c r="E43" s="5" t="s">
        <v>106</v>
      </c>
      <c r="F43" s="3" t="s">
        <v>34</v>
      </c>
      <c r="G43" s="4"/>
      <c r="H43" s="6"/>
      <c r="I43" s="5"/>
    </row>
    <row r="44" spans="1:9" ht="36" customHeight="1" x14ac:dyDescent="0.35">
      <c r="A44" s="7">
        <v>26</v>
      </c>
      <c r="B44" s="8"/>
      <c r="C44" s="9" t="s">
        <v>107</v>
      </c>
      <c r="D44" s="9" t="s">
        <v>108</v>
      </c>
      <c r="E44" s="9" t="s">
        <v>109</v>
      </c>
      <c r="F44" s="3" t="s">
        <v>34</v>
      </c>
      <c r="G44" s="8"/>
      <c r="H44" s="10"/>
      <c r="I44" s="9"/>
    </row>
    <row r="45" spans="1:9" ht="36" customHeight="1" x14ac:dyDescent="0.35">
      <c r="A45" s="3">
        <v>27</v>
      </c>
      <c r="B45" s="4"/>
      <c r="C45" s="5" t="s">
        <v>110</v>
      </c>
      <c r="D45" s="5" t="s">
        <v>111</v>
      </c>
      <c r="E45" s="5" t="s">
        <v>112</v>
      </c>
      <c r="F45" s="3" t="s">
        <v>34</v>
      </c>
      <c r="G45" s="4"/>
      <c r="H45" s="6"/>
      <c r="I45" s="5"/>
    </row>
    <row r="46" spans="1:9" ht="36" customHeight="1" x14ac:dyDescent="0.35">
      <c r="A46" s="7">
        <v>28</v>
      </c>
      <c r="B46" s="8"/>
      <c r="C46" s="9" t="s">
        <v>113</v>
      </c>
      <c r="D46" s="9" t="s">
        <v>114</v>
      </c>
      <c r="E46" s="9" t="s">
        <v>115</v>
      </c>
      <c r="F46" s="3" t="s">
        <v>34</v>
      </c>
      <c r="G46" s="8"/>
      <c r="H46" s="10"/>
      <c r="I46" s="9"/>
    </row>
    <row r="47" spans="1:9" ht="36" customHeight="1" x14ac:dyDescent="0.35">
      <c r="A47" s="3">
        <v>29</v>
      </c>
      <c r="B47" s="4"/>
      <c r="C47" s="5" t="s">
        <v>116</v>
      </c>
      <c r="D47" s="5" t="s">
        <v>117</v>
      </c>
      <c r="E47" s="5" t="s">
        <v>118</v>
      </c>
      <c r="F47" s="3" t="s">
        <v>34</v>
      </c>
      <c r="G47" s="4"/>
      <c r="H47" s="6"/>
      <c r="I47" s="5"/>
    </row>
    <row r="48" spans="1:9" ht="36" customHeight="1" x14ac:dyDescent="0.35">
      <c r="A48" s="7">
        <v>30</v>
      </c>
      <c r="B48" s="8"/>
      <c r="C48" s="9" t="s">
        <v>119</v>
      </c>
      <c r="D48" s="9" t="s">
        <v>120</v>
      </c>
      <c r="E48" s="9" t="s">
        <v>121</v>
      </c>
      <c r="F48" s="3" t="s">
        <v>34</v>
      </c>
      <c r="G48" s="8"/>
      <c r="H48" s="10"/>
      <c r="I48" s="9"/>
    </row>
    <row r="50" spans="1:9" ht="24" customHeight="1" x14ac:dyDescent="0.35">
      <c r="A50" s="17" t="s">
        <v>122</v>
      </c>
      <c r="B50" s="16"/>
      <c r="C50" s="16"/>
      <c r="D50" s="16"/>
      <c r="E50" s="16"/>
      <c r="F50" s="16"/>
      <c r="G50" s="16"/>
      <c r="H50" s="16"/>
      <c r="I50" s="16"/>
    </row>
    <row r="51" spans="1:9" ht="22" customHeight="1" x14ac:dyDescent="0.35">
      <c r="A51" s="11" t="s">
        <v>123</v>
      </c>
      <c r="B51" s="11" t="s">
        <v>124</v>
      </c>
      <c r="C51" s="11" t="s">
        <v>125</v>
      </c>
      <c r="D51" s="11" t="s">
        <v>34</v>
      </c>
      <c r="E51" s="11" t="s">
        <v>126</v>
      </c>
      <c r="F51" s="11" t="s">
        <v>127</v>
      </c>
      <c r="G51" s="11" t="s">
        <v>29</v>
      </c>
    </row>
    <row r="52" spans="1:9" ht="42" customHeight="1" x14ac:dyDescent="0.35">
      <c r="A52" s="12">
        <f>COUNTA(A19:A48)</f>
        <v>30</v>
      </c>
      <c r="B52" s="12">
        <f>COUNTIF(F19:F48,"Complete")</f>
        <v>0</v>
      </c>
      <c r="C52" s="12">
        <f>COUNTIF(F19:F48,"In Progress")</f>
        <v>0</v>
      </c>
      <c r="D52" s="12">
        <f>COUNTIF(F19:F48,"Not Started")</f>
        <v>30</v>
      </c>
      <c r="E52" s="12">
        <f>COUNTIF(F19:F48,"Blocked")</f>
        <v>0</v>
      </c>
      <c r="F52" s="13">
        <f>IFERROR(B52/A52,0)</f>
        <v>0</v>
      </c>
      <c r="G52" s="14">
        <f>SUM(H19:H48)</f>
        <v>0</v>
      </c>
    </row>
    <row r="54" spans="1:9" ht="24" customHeight="1" x14ac:dyDescent="0.35">
      <c r="A54" s="17" t="s">
        <v>128</v>
      </c>
      <c r="B54" s="16"/>
      <c r="C54" s="16"/>
      <c r="D54" s="16"/>
      <c r="E54" s="16"/>
      <c r="F54" s="16"/>
      <c r="G54" s="16"/>
      <c r="H54" s="16"/>
      <c r="I54" s="16"/>
    </row>
    <row r="55" spans="1:9" ht="20" customHeight="1" x14ac:dyDescent="0.35">
      <c r="A55" s="21" t="s">
        <v>129</v>
      </c>
      <c r="B55" s="16"/>
      <c r="C55" s="16"/>
      <c r="D55" s="16"/>
      <c r="E55" s="16"/>
      <c r="F55" s="16"/>
      <c r="G55" s="16"/>
      <c r="H55" s="16"/>
      <c r="I55" s="16"/>
    </row>
    <row r="56" spans="1:9" ht="20" customHeight="1" x14ac:dyDescent="0.35">
      <c r="A56" s="21" t="s">
        <v>130</v>
      </c>
      <c r="B56" s="16"/>
      <c r="C56" s="16"/>
      <c r="D56" s="16"/>
      <c r="E56" s="16"/>
      <c r="F56" s="16"/>
      <c r="G56" s="16"/>
      <c r="H56" s="16"/>
      <c r="I56" s="16"/>
    </row>
    <row r="57" spans="1:9" ht="20" customHeight="1" x14ac:dyDescent="0.35">
      <c r="A57" s="21" t="s">
        <v>131</v>
      </c>
      <c r="B57" s="16"/>
      <c r="C57" s="16"/>
      <c r="D57" s="16"/>
      <c r="E57" s="16"/>
      <c r="F57" s="16"/>
      <c r="G57" s="16"/>
      <c r="H57" s="16"/>
      <c r="I57" s="16"/>
    </row>
    <row r="58" spans="1:9" ht="20" customHeight="1" x14ac:dyDescent="0.35">
      <c r="A58" s="21" t="s">
        <v>132</v>
      </c>
      <c r="B58" s="16"/>
      <c r="C58" s="16"/>
      <c r="D58" s="16"/>
      <c r="E58" s="16"/>
      <c r="F58" s="16"/>
      <c r="G58" s="16"/>
      <c r="H58" s="16"/>
      <c r="I58" s="16"/>
    </row>
    <row r="60" spans="1:9" ht="24" customHeight="1" x14ac:dyDescent="0.35">
      <c r="A60" s="17" t="s">
        <v>133</v>
      </c>
      <c r="B60" s="16"/>
      <c r="C60" s="16"/>
      <c r="D60" s="16"/>
      <c r="E60" s="16"/>
      <c r="F60" s="16"/>
      <c r="G60" s="16"/>
      <c r="H60" s="16"/>
      <c r="I60" s="16"/>
    </row>
    <row r="61" spans="1:9" ht="20" customHeight="1" x14ac:dyDescent="0.35">
      <c r="A61" s="18" t="s">
        <v>134</v>
      </c>
      <c r="B61" s="16"/>
      <c r="C61" s="15" t="s">
        <v>135</v>
      </c>
      <c r="D61" s="16"/>
      <c r="E61" s="16"/>
      <c r="F61" s="16"/>
      <c r="G61" s="16"/>
      <c r="H61" s="16"/>
      <c r="I61" s="16"/>
    </row>
    <row r="62" spans="1:9" ht="20" customHeight="1" x14ac:dyDescent="0.35">
      <c r="A62" s="18" t="s">
        <v>136</v>
      </c>
      <c r="B62" s="16"/>
      <c r="C62" s="15" t="s">
        <v>137</v>
      </c>
      <c r="D62" s="16"/>
      <c r="E62" s="16"/>
      <c r="F62" s="16"/>
      <c r="G62" s="16"/>
      <c r="H62" s="16"/>
      <c r="I62" s="16"/>
    </row>
    <row r="63" spans="1:9" ht="20" customHeight="1" x14ac:dyDescent="0.35">
      <c r="A63" s="18" t="s">
        <v>138</v>
      </c>
      <c r="B63" s="16"/>
      <c r="C63" s="15" t="s">
        <v>139</v>
      </c>
      <c r="D63" s="16"/>
      <c r="E63" s="16"/>
      <c r="F63" s="16"/>
      <c r="G63" s="16"/>
      <c r="H63" s="16"/>
      <c r="I63" s="16"/>
    </row>
    <row r="64" spans="1:9" ht="20" customHeight="1" x14ac:dyDescent="0.35">
      <c r="A64" s="18" t="s">
        <v>140</v>
      </c>
      <c r="B64" s="16"/>
      <c r="C64" s="15" t="s">
        <v>141</v>
      </c>
      <c r="D64" s="16"/>
      <c r="E64" s="16"/>
      <c r="F64" s="16"/>
      <c r="G64" s="16"/>
      <c r="H64" s="16"/>
      <c r="I64" s="16"/>
    </row>
    <row r="65" spans="1:9" ht="20" customHeight="1" x14ac:dyDescent="0.35">
      <c r="A65" s="18" t="s">
        <v>142</v>
      </c>
      <c r="B65" s="16"/>
      <c r="C65" s="15" t="s">
        <v>143</v>
      </c>
      <c r="D65" s="16"/>
      <c r="E65" s="16"/>
      <c r="F65" s="16"/>
      <c r="G65" s="16"/>
      <c r="H65" s="16"/>
      <c r="I65" s="16"/>
    </row>
    <row r="66" spans="1:9" ht="20" customHeight="1" x14ac:dyDescent="0.35">
      <c r="A66" s="18" t="s">
        <v>144</v>
      </c>
      <c r="B66" s="16"/>
      <c r="C66" s="15" t="s">
        <v>145</v>
      </c>
      <c r="D66" s="16"/>
      <c r="E66" s="16"/>
      <c r="F66" s="16"/>
      <c r="G66" s="16"/>
      <c r="H66" s="16"/>
      <c r="I66" s="16"/>
    </row>
    <row r="67" spans="1:9" ht="20" customHeight="1" x14ac:dyDescent="0.35">
      <c r="A67" s="18" t="s">
        <v>146</v>
      </c>
      <c r="B67" s="16"/>
      <c r="C67" s="15" t="s">
        <v>147</v>
      </c>
      <c r="D67" s="16"/>
      <c r="E67" s="16"/>
      <c r="F67" s="16"/>
      <c r="G67" s="16"/>
      <c r="H67" s="16"/>
      <c r="I67" s="16"/>
    </row>
    <row r="68" spans="1:9" ht="20" customHeight="1" x14ac:dyDescent="0.35">
      <c r="A68" s="18" t="s">
        <v>148</v>
      </c>
      <c r="B68" s="16"/>
      <c r="C68" s="15" t="s">
        <v>149</v>
      </c>
      <c r="D68" s="16"/>
      <c r="E68" s="16"/>
      <c r="F68" s="16"/>
      <c r="G68" s="16"/>
      <c r="H68" s="16"/>
      <c r="I68" s="16"/>
    </row>
    <row r="69" spans="1:9" ht="20" customHeight="1" x14ac:dyDescent="0.35">
      <c r="A69" s="18" t="s">
        <v>150</v>
      </c>
      <c r="B69" s="16"/>
      <c r="C69" s="15" t="s">
        <v>151</v>
      </c>
      <c r="D69" s="16"/>
      <c r="E69" s="16"/>
      <c r="F69" s="16"/>
      <c r="G69" s="16"/>
      <c r="H69" s="16"/>
      <c r="I69" s="16"/>
    </row>
    <row r="70" spans="1:9" ht="20" customHeight="1" x14ac:dyDescent="0.35">
      <c r="A70" s="18" t="s">
        <v>152</v>
      </c>
      <c r="B70" s="16"/>
      <c r="C70" s="15" t="s">
        <v>153</v>
      </c>
      <c r="D70" s="16"/>
      <c r="E70" s="16"/>
      <c r="F70" s="16"/>
      <c r="G70" s="16"/>
      <c r="H70" s="16"/>
      <c r="I70" s="16"/>
    </row>
  </sheetData>
  <mergeCells count="51">
    <mergeCell ref="A1:I1"/>
    <mergeCell ref="C12:I12"/>
    <mergeCell ref="A13:B13"/>
    <mergeCell ref="A67:B67"/>
    <mergeCell ref="C11:I11"/>
    <mergeCell ref="A16:I16"/>
    <mergeCell ref="A2:I2"/>
    <mergeCell ref="C69:I69"/>
    <mergeCell ref="A7:B7"/>
    <mergeCell ref="A65:B65"/>
    <mergeCell ref="G5:I5"/>
    <mergeCell ref="A14:I14"/>
    <mergeCell ref="A17:I17"/>
    <mergeCell ref="A66:B66"/>
    <mergeCell ref="C62:I62"/>
    <mergeCell ref="C68:I68"/>
    <mergeCell ref="C7:E7"/>
    <mergeCell ref="A12:B12"/>
    <mergeCell ref="C64:I64"/>
    <mergeCell ref="A5:B5"/>
    <mergeCell ref="A9:I9"/>
    <mergeCell ref="C10:I10"/>
    <mergeCell ref="A3:I3"/>
    <mergeCell ref="A55:I55"/>
    <mergeCell ref="A50:I50"/>
    <mergeCell ref="C67:I67"/>
    <mergeCell ref="A61:B61"/>
    <mergeCell ref="A6:B6"/>
    <mergeCell ref="C66:I66"/>
    <mergeCell ref="A57:I57"/>
    <mergeCell ref="C13:I13"/>
    <mergeCell ref="A58:I58"/>
    <mergeCell ref="C63:I63"/>
    <mergeCell ref="C65:I65"/>
    <mergeCell ref="C6:E6"/>
    <mergeCell ref="A62:B62"/>
    <mergeCell ref="C5:E5"/>
    <mergeCell ref="A60:I60"/>
    <mergeCell ref="C61:I61"/>
    <mergeCell ref="A54:I54"/>
    <mergeCell ref="A64:B64"/>
    <mergeCell ref="G6:I6"/>
    <mergeCell ref="C70:I70"/>
    <mergeCell ref="A11:B11"/>
    <mergeCell ref="A56:I56"/>
    <mergeCell ref="A70:B70"/>
    <mergeCell ref="A69:B69"/>
    <mergeCell ref="A68:B68"/>
    <mergeCell ref="A63:B63"/>
    <mergeCell ref="A10:B10"/>
    <mergeCell ref="G7:I7"/>
  </mergeCells>
  <conditionalFormatting sqref="F19:F48">
    <cfRule type="cellIs" dxfId="3" priority="1" operator="equal">
      <formula>"Complete"</formula>
    </cfRule>
    <cfRule type="cellIs" dxfId="2" priority="2" operator="equal">
      <formula>"In Progress"</formula>
    </cfRule>
    <cfRule type="cellIs" dxfId="1" priority="3" operator="equal">
      <formula>"Not Started"</formula>
    </cfRule>
    <cfRule type="cellIs" dxfId="0" priority="4" operator="equal">
      <formula>"Blocked"</formula>
    </cfRule>
  </conditionalFormatting>
  <dataValidations count="1">
    <dataValidation type="list" errorTitle="Invalid status" error="Pick one: Not Started, In Progress, Complete, Blocked" sqref="F19:F48" xr:uid="{00000000-0002-0000-0000-000000000000}">
      <formula1>"Not Started,In Progress,Complete,Blocked"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Dhanushka De Silva Hewa Annakage</cp:lastModifiedBy>
  <dcterms:created xsi:type="dcterms:W3CDTF">2026-05-28T12:42:26Z</dcterms:created>
  <dcterms:modified xsi:type="dcterms:W3CDTF">2026-05-28T14:26:24Z</dcterms:modified>
</cp:coreProperties>
</file>